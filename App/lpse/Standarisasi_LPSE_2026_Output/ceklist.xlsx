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PSE\Rencana_Standarisasi\"/>
    </mc:Choice>
  </mc:AlternateContent>
  <xr:revisionPtr revIDLastSave="0" documentId="8_{FF095FF6-209C-46A3-A36B-CE5B2A095130}" xr6:coauthVersionLast="47" xr6:coauthVersionMax="47" xr10:uidLastSave="{00000000-0000-0000-0000-000000000000}"/>
  <bookViews>
    <workbookView xWindow="-108" yWindow="-108" windowWidth="23256" windowHeight="12456" activeTab="8" xr2:uid="{87F1C858-8531-4DAC-880A-9F870B9CD681}"/>
  </bookViews>
  <sheets>
    <sheet name="Checklist LPSE" sheetId="1" r:id="rId1"/>
    <sheet name="L.12" sheetId="2" r:id="rId2"/>
    <sheet name="L.12a" sheetId="3" r:id="rId3"/>
    <sheet name="L.14" sheetId="4" r:id="rId4"/>
    <sheet name="L.14a" sheetId="5" r:id="rId5"/>
    <sheet name="L.15" sheetId="6" r:id="rId6"/>
    <sheet name="L.15a" sheetId="7" r:id="rId7"/>
    <sheet name="L.15b" sheetId="8" r:id="rId8"/>
    <sheet name="L.15c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4" l="1" a="1"/>
  <c r="A8" i="4"/>
  <c r="A9" i="4" a="1"/>
  <c r="A9" i="4"/>
  <c r="A10" i="4" a="1"/>
  <c r="A10" i="4" s="1"/>
  <c r="A14" i="4" a="1"/>
  <c r="A14" i="4"/>
  <c r="A17" i="4" a="1"/>
  <c r="A17" i="4"/>
  <c r="A11" i="3" a="1"/>
  <c r="A11" i="3" s="1"/>
  <c r="A12" i="3" a="1"/>
  <c r="A1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<sst xmlns="http://schemas.openxmlformats.org/spreadsheetml/2006/main" count="108" uniqueCount="80">
  <si>
    <t>📊 Struktur Checklist Excel</t>
  </si>
  <si>
    <r>
      <t>Sheet Name: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Checklist LPSE</t>
    </r>
  </si>
  <si>
    <t>Standar</t>
  </si>
  <si>
    <t>Bukti Dukung Wajib</t>
  </si>
  <si>
    <t>Status (☑/☐)</t>
  </si>
  <si>
    <t>Catatan</t>
  </si>
  <si>
    <t>12 – Keamanan Layanan</t>
  </si>
  <si>
    <t>SK/SOP Keamanan Informasi</t>
  </si>
  <si>
    <t>☐</t>
  </si>
  <si>
    <t>Jadwal &amp; log backup data</t>
  </si>
  <si>
    <t>Bukti enkripsi/SSL aktif</t>
  </si>
  <si>
    <t>Laporan uji keamanan sistem</t>
  </si>
  <si>
    <t>Notulensi rapat koordinasi keamanan</t>
  </si>
  <si>
    <t>14 – Keberlanjutan Layanan</t>
  </si>
  <si>
    <t>Dokumen BCP/DRP</t>
  </si>
  <si>
    <t>Bukti server cadangan/data center backup</t>
  </si>
  <si>
    <t>Laporan simulasi pemulihan layanan</t>
  </si>
  <si>
    <t>MoU/kerja sama infrastruktur</t>
  </si>
  <si>
    <t>Jadwal maintenance &amp; notifikasi</t>
  </si>
  <si>
    <t>15 – Dukungan Pengguna</t>
  </si>
  <si>
    <t>SOP Helpdesk/Layanan Pengguna</t>
  </si>
  <si>
    <t>Rekap tiket keluhan pengguna</t>
  </si>
  <si>
    <t>Bukti pelatihan petugas helpdesk</t>
  </si>
  <si>
    <t>Laporan respon time &amp; penyelesaian keluhan</t>
  </si>
  <si>
    <t>Dokumentasi sosialisasi pengguna</t>
  </si>
  <si>
    <t>LAMPIRAN JADWAL BACKUP DATA LPSE</t>
  </si>
  <si>
    <t>Periode: Januari – Desember 2025</t>
  </si>
  <si>
    <t>| Tanggal | Jenis Backup (Harian/Mingguan) | Media Penyimpanan | Petugas | Status (Berhasil/Gagal) | Catatan |</t>
  </si>
  <si>
    <t>|---------|--------------------------------|-------------------|---------|-------------------------|---------|</t>
  </si>
  <si>
    <t>| 02/01/25 | Harian | Server Cadangan | Andi | Berhasil | - |</t>
  </si>
  <si>
    <t>| 03/01/25 | Harian | Server Cadangan | Budi | Berhasil | - |</t>
  </si>
  <si>
    <t>| ...     | ...                            | ...               | ...     | ...                     | ...     |</t>
  </si>
  <si>
    <t>LAPORAN HASIL UJI KEAMANAN (PENETRATION TEST)</t>
  </si>
  <si>
    <t>Tanggal Uji : [Tanggal]</t>
  </si>
  <si>
    <t>Dilakukan oleh : [Nama Tim/Instansi]</t>
  </si>
  <si>
    <t>Lingkup Uji : Server LPSE, Aplikasi SPSE</t>
  </si>
  <si>
    <t>Hasil Temuan :</t>
  </si>
  <si>
    <t>1. [Contoh: Port 22 terbuka tanpa firewall]</t>
  </si>
  <si>
    <t>2. [Contoh: SSL sudah aktif dan valid]</t>
  </si>
  <si>
    <t>Rekomendasi :</t>
  </si>
  <si>
    <t>Disahkan oleh:</t>
  </si>
  <si>
    <t>Kepala LPSE</t>
  </si>
  <si>
    <t>LAPORAN SIMULASI PEMULIHAN LAYANAN LPSE</t>
  </si>
  <si>
    <t>Tanggal Simulasi : [Tanggal]</t>
  </si>
  <si>
    <t>Lokasi : [Data Center Utama / Cadangan]</t>
  </si>
  <si>
    <t>Peserta : [Nama Tim Teknis]</t>
  </si>
  <si>
    <t>Skenario :</t>
  </si>
  <si>
    <t>Hasil :</t>
  </si>
  <si>
    <t>- Waktu pemulihan: 1 jam 45 menit</t>
  </si>
  <si>
    <t>Catatan :</t>
  </si>
  <si>
    <t>Kepala UKPBJ/LPSE</t>
  </si>
  <si>
    <t>JADWAL MAINTENANCE LPSE</t>
  </si>
  <si>
    <t>Periode: Semester I 2025</t>
  </si>
  <si>
    <t>| Tanggal | Jenis Maintenance | Durasi | Notifikasi ke Pengguna (Ya/Tidak) | Catatan |</t>
  </si>
  <si>
    <t>|---------|------------------|--------|-----------------------------------|---------|</t>
  </si>
  <si>
    <t>| 15/02/25 | Update SPSE v5.5 | 2 jam | Ya (via email &amp; website) | Selesai |</t>
  </si>
  <si>
    <t>| 20/04/25 | Server upgrade   | 3 jam | Ya | Selesai |</t>
  </si>
  <si>
    <t>REKAP KELUHAN PENGGUNA LPSE</t>
  </si>
  <si>
    <t>Periode: Januari – Maret 2025</t>
  </si>
  <si>
    <t>| No | Tanggal | Nama Pengguna | Media (Email/Helpdesk/Telepon) | Keluhan | Tindak Lanjut | Status (Selesai/Proses) |</t>
  </si>
  <si>
    <t>|----|----------|---------------|--------------------------------|---------|---------------|-------------------------|</t>
  </si>
  <si>
    <t>| 1  | 05/01/25 | PT Maju Jaya  | Helpdesk | Tidak bisa login SPSE | Reset akun | Selesai |</t>
  </si>
  <si>
    <t>| 2  | 12/01/25 | CV Sejahtera  | Email    | Error upload dokumen | Panduan ulang | Selesai |</t>
  </si>
  <si>
    <t>LAPORAN RESPON TIME HELP DESK LPSE</t>
  </si>
  <si>
    <t>Jumlah Keluhan Masuk : 45</t>
  </si>
  <si>
    <t>Rata-rata Waktu Respon : 6 jam</t>
  </si>
  <si>
    <t>Rata-rata Waktu Penyelesaian : 18 jam</t>
  </si>
  <si>
    <t>Persentase Keluhan Selesai : 95%</t>
  </si>
  <si>
    <t>Disusun oleh: [Nama Petugas Helpdesk]</t>
  </si>
  <si>
    <t>DAFTAR HADIR PELATIHAN PETUGAS HELP DESK</t>
  </si>
  <si>
    <t>Tanggal : [Tanggal]</t>
  </si>
  <si>
    <t>Materi : [Materi Pelatihan]</t>
  </si>
  <si>
    <t>| No | Nama Peserta | Jabatan | Tanda Tangan |</t>
  </si>
  <si>
    <t>|----|--------------|---------|--------------|</t>
  </si>
  <si>
    <t>| 1  | Andi         | Staf IT |              |</t>
  </si>
  <si>
    <t>| 2  | Budi         | Helpdesk|              |</t>
  </si>
  <si>
    <t>Dokumentasi Sosialisasi</t>
  </si>
  <si>
    <t>Foto kegiatan (ditempel di lampiran)</t>
  </si>
  <si>
    <t>Daftar hadir peserta sosialisasi</t>
  </si>
  <si>
    <t>Materi presentasi (PDF/PowerPoint)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</si>
</sst>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07122-1173-4656-B02B-817E9F53D905}">
  <dimension ref="A3:D25"/>
  <sheetViews>
    <sheetView topLeftCell="A2" workbookViewId="0">
      <selection activeCell="E15" sqref="E15"/>
    </sheetView>
  </sheetViews>
  <sheetFormatPr defaultColWidth="14.44140625" defaultRowHeight="14.4"/>
  <cols>
    <col min="1" max="1" width="27.109375" customWidth="1"/>
    <col min="2" max="2" width="28.5546875" customWidth="1"/>
    <col min="3" max="3" width="12.6640625" style="7" bestFit="1" customWidth="1"/>
    <col min="4" max="4" width="16.5546875" customWidth="1"/>
  </cols>
  <sheetData>
    <row r="3" spans="1:4" ht="23.4">
      <c r="A3" s="1" t="s">
        <v>0</v>
      </c>
    </row>
    <row r="5" spans="1:4">
      <c r="A5" s="2" t="s">
        <v>1</v>
      </c>
    </row>
    <row r="7" spans="1:4">
      <c r="A7" s="4" t="s">
        <v>2</v>
      </c>
      <c r="B7" s="4" t="s">
        <v>3</v>
      </c>
      <c r="C7" s="4" t="s">
        <v>4</v>
      </c>
      <c r="D7" s="4" t="s">
        <v>5</v>
      </c>
    </row>
    <row r="8" spans="1:4">
      <c r="A8" s="5" t="s">
        <v>6</v>
      </c>
      <c r="B8" s="5" t="s">
        <v>7</v>
      </c>
      <c r="C8" s="3" t="s">
        <v>8</v>
      </c>
      <c r="D8" s="5"/>
    </row>
    <row r="9" spans="1:4">
      <c r="A9" s="5" t="s">
        <v>6</v>
      </c>
      <c r="B9" s="5" t="s">
        <v>9</v>
      </c>
      <c r="C9" s="3" t="s">
        <v>8</v>
      </c>
      <c r="D9" s="5"/>
    </row>
    <row r="10" spans="1:4">
      <c r="A10" s="5" t="s">
        <v>6</v>
      </c>
      <c r="B10" s="5" t="s">
        <v>10</v>
      </c>
      <c r="C10" s="3" t="s">
        <v>8</v>
      </c>
      <c r="D10" s="5"/>
    </row>
    <row r="11" spans="1:4">
      <c r="A11" s="5" t="s">
        <v>6</v>
      </c>
      <c r="B11" s="5" t="s">
        <v>11</v>
      </c>
      <c r="C11" s="3" t="s">
        <v>8</v>
      </c>
      <c r="D11" s="5"/>
    </row>
    <row r="12" spans="1:4" ht="28.8">
      <c r="A12" s="5" t="s">
        <v>6</v>
      </c>
      <c r="B12" s="5" t="s">
        <v>12</v>
      </c>
      <c r="C12" s="3" t="s">
        <v>8</v>
      </c>
      <c r="D12" s="5"/>
    </row>
    <row r="13" spans="1:4">
      <c r="A13" s="5" t="s">
        <v>13</v>
      </c>
      <c r="B13" s="5" t="s">
        <v>14</v>
      </c>
      <c r="C13" s="3" t="s">
        <v>8</v>
      </c>
      <c r="D13" s="5"/>
    </row>
    <row r="14" spans="1:4" ht="28.8">
      <c r="A14" s="5" t="s">
        <v>13</v>
      </c>
      <c r="B14" s="5" t="s">
        <v>15</v>
      </c>
      <c r="C14" s="3" t="s">
        <v>8</v>
      </c>
      <c r="D14" s="5"/>
    </row>
    <row r="15" spans="1:4" ht="28.8">
      <c r="A15" s="5" t="s">
        <v>13</v>
      </c>
      <c r="B15" s="5" t="s">
        <v>16</v>
      </c>
      <c r="C15" s="3" t="s">
        <v>8</v>
      </c>
      <c r="D15" s="5"/>
    </row>
    <row r="16" spans="1:4">
      <c r="A16" s="5" t="s">
        <v>13</v>
      </c>
      <c r="B16" s="5" t="s">
        <v>17</v>
      </c>
      <c r="C16" s="3" t="s">
        <v>8</v>
      </c>
      <c r="D16" s="5"/>
    </row>
    <row r="17" spans="1:4">
      <c r="A17" s="5" t="s">
        <v>13</v>
      </c>
      <c r="B17" s="5" t="s">
        <v>18</v>
      </c>
      <c r="C17" s="3" t="s">
        <v>8</v>
      </c>
      <c r="D17" s="5"/>
    </row>
    <row r="18" spans="1:4">
      <c r="A18" s="5" t="s">
        <v>19</v>
      </c>
      <c r="B18" s="5" t="s">
        <v>20</v>
      </c>
      <c r="C18" s="3" t="s">
        <v>8</v>
      </c>
      <c r="D18" s="5"/>
    </row>
    <row r="19" spans="1:4">
      <c r="A19" s="5" t="s">
        <v>19</v>
      </c>
      <c r="B19" s="5" t="s">
        <v>21</v>
      </c>
      <c r="C19" s="3" t="s">
        <v>8</v>
      </c>
      <c r="D19" s="5"/>
    </row>
    <row r="20" spans="1:4">
      <c r="A20" s="5" t="s">
        <v>19</v>
      </c>
      <c r="B20" s="5" t="s">
        <v>22</v>
      </c>
      <c r="C20" s="3" t="s">
        <v>8</v>
      </c>
      <c r="D20" s="5"/>
    </row>
    <row r="21" spans="1:4" ht="28.8">
      <c r="A21" s="5" t="s">
        <v>19</v>
      </c>
      <c r="B21" s="5" t="s">
        <v>23</v>
      </c>
      <c r="C21" s="3" t="s">
        <v>8</v>
      </c>
      <c r="D21" s="5"/>
    </row>
    <row r="22" spans="1:4" ht="28.8">
      <c r="A22" s="5" t="s">
        <v>19</v>
      </c>
      <c r="B22" s="5" t="s">
        <v>24</v>
      </c>
      <c r="C22" s="3" t="s">
        <v>8</v>
      </c>
      <c r="D22" s="5"/>
    </row>
    <row r="25" spans="1:4" ht="18">
      <c r="A2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13B31-1DD3-4FF7-96AE-165C23A144D4}">
  <dimension ref="A1:A9"/>
  <sheetViews>
    <sheetView workbookViewId="0">
      <selection activeCell="F23" sqref="F23"/>
    </sheetView>
  </sheetViews>
  <sheetFormatPr defaultRowHeight="14.4"/>
  <sheetData>
    <row r="1" spans="1:1">
      <c r="A1" t="s">
        <v>25</v>
      </c>
    </row>
    <row r="3" spans="1:1">
      <c r="A3" t="s">
        <v>26</v>
      </c>
    </row>
    <row r="5" spans="1:1">
      <c r="A5" t="s">
        <v>27</v>
      </c>
    </row>
    <row r="6" spans="1:1">
      <c r="A6" t="s">
        <v>28</v>
      </c>
    </row>
    <row r="7" spans="1:1">
      <c r="A7" t="s">
        <v>29</v>
      </c>
    </row>
    <row r="8" spans="1:1">
      <c r="A8" t="s">
        <v>30</v>
      </c>
    </row>
    <row r="9" spans="1:1">
      <c r="A9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788DF-52BC-41CF-9B0F-0885E5A19B69}">
  <dimension ref="A1:A15"/>
  <sheetViews>
    <sheetView workbookViewId="0">
      <selection activeCell="C24" sqref="C24"/>
    </sheetView>
  </sheetViews>
  <sheetFormatPr defaultRowHeight="14.4"/>
  <cols>
    <col min="1" max="1" width="45.6640625" bestFit="1" customWidth="1"/>
  </cols>
  <sheetData>
    <row r="1" spans="1:1">
      <c r="A1" t="s">
        <v>32</v>
      </c>
    </row>
    <row r="3" spans="1:1">
      <c r="A3" t="s">
        <v>33</v>
      </c>
    </row>
    <row r="4" spans="1:1">
      <c r="A4" t="s">
        <v>34</v>
      </c>
    </row>
    <row r="5" spans="1:1">
      <c r="A5" t="s">
        <v>35</v>
      </c>
    </row>
    <row r="6" spans="1:1">
      <c r="A6" t="s">
        <v>36</v>
      </c>
    </row>
    <row r="7" spans="1:1">
      <c r="A7" t="s">
        <v>37</v>
      </c>
    </row>
    <row r="8" spans="1:1">
      <c r="A8" t="s">
        <v>38</v>
      </c>
    </row>
    <row r="10" spans="1:1">
      <c r="A10" t="s">
        <v>39</v>
      </c>
    </row>
    <row r="11" spans="1:1">
      <c r="A11" t="e" cm="1">
        <f t="array" ref="A11">- Menutup port yang tidak digunakan</f>
        <v>#NAME?</v>
      </c>
    </row>
    <row r="12" spans="1:1">
      <c r="A12" t="e" cm="1">
        <f t="array" ref="A12">- Melakukan update patch keamanan</f>
        <v>#NAME?</v>
      </c>
    </row>
    <row r="14" spans="1:1">
      <c r="A14" t="s">
        <v>40</v>
      </c>
    </row>
    <row r="15" spans="1:1">
      <c r="A15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90F9-A6C0-42CA-99AD-A8F04DAE1A2F}">
  <dimension ref="A1:A20"/>
  <sheetViews>
    <sheetView workbookViewId="0">
      <selection activeCell="C23" sqref="C23"/>
    </sheetView>
  </sheetViews>
  <sheetFormatPr defaultRowHeight="14.4"/>
  <cols>
    <col min="1" max="1" width="41.109375" bestFit="1" customWidth="1"/>
  </cols>
  <sheetData>
    <row r="1" spans="1:1">
      <c r="A1" t="s">
        <v>42</v>
      </c>
    </row>
    <row r="3" spans="1:1">
      <c r="A3" t="s">
        <v>43</v>
      </c>
    </row>
    <row r="4" spans="1:1">
      <c r="A4" t="s">
        <v>44</v>
      </c>
    </row>
    <row r="5" spans="1:1">
      <c r="A5" t="s">
        <v>45</v>
      </c>
    </row>
    <row r="7" spans="1:1">
      <c r="A7" t="s">
        <v>46</v>
      </c>
    </row>
    <row r="8" spans="1:1">
      <c r="A8" t="e" cm="1">
        <f t="array" ref="A8">- Server utama dimatikan</f>
        <v>#NAME?</v>
      </c>
    </row>
    <row r="9" spans="1:1">
      <c r="A9" t="e" cm="1">
        <f t="array" ref="A9">- Server cadangan diaktifkan</f>
        <v>#NAME?</v>
      </c>
    </row>
    <row r="10" spans="1:1">
      <c r="A10" t="e" cm="1">
        <f t="array" ref="A10">- Data dipulihkan dari backup harian</f>
        <v>#NAME?</v>
      </c>
    </row>
    <row r="12" spans="1:1">
      <c r="A12" t="s">
        <v>47</v>
      </c>
    </row>
    <row r="13" spans="1:1">
      <c r="A13" t="s">
        <v>48</v>
      </c>
    </row>
    <row r="14" spans="1:1">
      <c r="A14" t="e" cm="1">
        <f t="array" ref="A14">- Status layanan: Normal kembali</f>
        <v>#NAME?</v>
      </c>
    </row>
    <row r="16" spans="1:1">
      <c r="A16" t="s">
        <v>49</v>
      </c>
    </row>
    <row r="17" spans="1:1">
      <c r="A17" t="e" cm="1">
        <f t="array" ref="A17">- Perlu penambahan kapasitas Server cadangan</f>
        <v>#NAME?</v>
      </c>
    </row>
    <row r="19" spans="1:1">
      <c r="A19" t="s">
        <v>40</v>
      </c>
    </row>
    <row r="20" spans="1:1">
      <c r="A20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6A9AD-5B85-491E-A033-B9C43BF60324}">
  <dimension ref="A1:A8"/>
  <sheetViews>
    <sheetView workbookViewId="0">
      <selection activeCell="E25" sqref="E25"/>
    </sheetView>
  </sheetViews>
  <sheetFormatPr defaultRowHeight="14.4"/>
  <sheetData>
    <row r="1" spans="1:1">
      <c r="A1" t="s">
        <v>51</v>
      </c>
    </row>
    <row r="3" spans="1:1">
      <c r="A3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CEC8A-2161-478D-AA13-484C6A47AF42}">
  <dimension ref="A1:A8"/>
  <sheetViews>
    <sheetView workbookViewId="0">
      <selection activeCell="E20" sqref="E20"/>
    </sheetView>
  </sheetViews>
  <sheetFormatPr defaultRowHeight="14.4"/>
  <sheetData>
    <row r="1" spans="1:1">
      <c r="A1" t="s">
        <v>57</v>
      </c>
    </row>
    <row r="3" spans="1:1">
      <c r="A3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  <row r="8" spans="1:1">
      <c r="A8" t="s">
        <v>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BB37B-8470-4321-B76A-DF10756C360D}">
  <dimension ref="A1:A10"/>
  <sheetViews>
    <sheetView workbookViewId="0">
      <selection activeCell="G23" sqref="G23"/>
    </sheetView>
  </sheetViews>
  <sheetFormatPr defaultRowHeight="14.4"/>
  <sheetData>
    <row r="1" spans="1:1">
      <c r="A1" t="s">
        <v>63</v>
      </c>
    </row>
    <row r="3" spans="1:1">
      <c r="A3" t="s">
        <v>58</v>
      </c>
    </row>
    <row r="5" spans="1:1">
      <c r="A5" t="s">
        <v>64</v>
      </c>
    </row>
    <row r="6" spans="1:1">
      <c r="A6" t="s">
        <v>65</v>
      </c>
    </row>
    <row r="7" spans="1:1">
      <c r="A7" t="s">
        <v>66</v>
      </c>
    </row>
    <row r="8" spans="1:1">
      <c r="A8" t="s">
        <v>67</v>
      </c>
    </row>
    <row r="10" spans="1:1">
      <c r="A10" t="s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7A85-4A1D-464E-BCD2-B5F8DEC3DC3A}">
  <dimension ref="A1:A9"/>
  <sheetViews>
    <sheetView workbookViewId="0">
      <selection activeCell="G19" sqref="G19"/>
    </sheetView>
  </sheetViews>
  <sheetFormatPr defaultRowHeight="14.4"/>
  <sheetData>
    <row r="1" spans="1:1">
      <c r="A1" t="s">
        <v>69</v>
      </c>
    </row>
    <row r="3" spans="1:1">
      <c r="A3" t="s">
        <v>70</v>
      </c>
    </row>
    <row r="4" spans="1:1">
      <c r="A4" t="s">
        <v>71</v>
      </c>
    </row>
    <row r="6" spans="1:1">
      <c r="A6" t="s">
        <v>72</v>
      </c>
    </row>
    <row r="7" spans="1:1">
      <c r="A7" t="s">
        <v>73</v>
      </c>
    </row>
    <row r="8" spans="1:1">
      <c r="A8" t="s">
        <v>74</v>
      </c>
    </row>
    <row r="9" spans="1:1">
      <c r="A9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1335B-0AFC-4FD5-913C-B3FC14AC2B41}">
  <dimension ref="A1:A5"/>
  <sheetViews>
    <sheetView tabSelected="1" workbookViewId="0">
      <selection activeCell="E18" sqref="E18"/>
    </sheetView>
  </sheetViews>
  <sheetFormatPr defaultRowHeight="14.4"/>
  <sheetData>
    <row r="1" spans="1:1">
      <c r="A1" t="s">
        <v>76</v>
      </c>
    </row>
    <row r="2" spans="1:1">
      <c r="A2" s="8"/>
    </row>
    <row r="3" spans="1:1">
      <c r="A3" s="8" t="s">
        <v>77</v>
      </c>
    </row>
    <row r="4" spans="1:1">
      <c r="A4" s="8" t="s">
        <v>78</v>
      </c>
    </row>
    <row r="5" spans="1:1">
      <c r="A5" s="8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Checklist LPSE</vt:lpstr>
      <vt:lpstr>L.12</vt:lpstr>
      <vt:lpstr>L.12a</vt:lpstr>
      <vt:lpstr>L.14</vt:lpstr>
      <vt:lpstr>L.14a</vt:lpstr>
      <vt:lpstr>L.15</vt:lpstr>
      <vt:lpstr>L.15a</vt:lpstr>
      <vt:lpstr>L.15b</vt:lpstr>
      <vt:lpstr>L.15c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LPSE Bulukumba</dc:creator>
  <cp:lastModifiedBy>LPSE Bulukumba</cp:lastModifiedBy>
  <dcterms:created xsi:type="dcterms:W3CDTF">2025-10-03T07:50:20Z</dcterms:created>
  <dcterms:modified xsi:type="dcterms:W3CDTF">2025-10-03T08:18:04Z</dcterms:modified>
</cp:coreProperties>
</file>